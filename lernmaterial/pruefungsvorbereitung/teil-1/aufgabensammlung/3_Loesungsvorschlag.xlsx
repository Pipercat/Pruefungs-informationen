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jo\Documents\3_S_akt\E2FV2\20251006_Excel-SOL\"/>
    </mc:Choice>
  </mc:AlternateContent>
  <xr:revisionPtr revIDLastSave="0" documentId="8_{1271ABB7-10A7-4DEC-8A60-871774E01487}" xr6:coauthVersionLast="47" xr6:coauthVersionMax="47" xr10:uidLastSave="{00000000-0000-0000-0000-000000000000}"/>
  <bookViews>
    <workbookView xWindow="2532" yWindow="558" windowWidth="17280" windowHeight="11418" activeTab="2" xr2:uid="{CD1494E6-E018-420B-90ED-A91F83D7551C}"/>
  </bookViews>
  <sheets>
    <sheet name="40proStück" sheetId="1" r:id="rId1"/>
    <sheet name="90proStück" sheetId="2" r:id="rId2"/>
    <sheet name="110proStück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8" i="3" l="1"/>
  <c r="C17" i="3"/>
  <c r="C16" i="3"/>
  <c r="D13" i="3"/>
  <c r="C15" i="3"/>
  <c r="C13" i="3"/>
  <c r="C14" i="3"/>
  <c r="D14" i="3"/>
  <c r="D6" i="3"/>
  <c r="C5" i="3"/>
  <c r="C5" i="2"/>
  <c r="J4" i="3"/>
  <c r="I6" i="3"/>
  <c r="D17" i="3"/>
  <c r="E15" i="3"/>
  <c r="E14" i="3"/>
  <c r="F13" i="3"/>
  <c r="F12" i="3" s="1"/>
  <c r="G12" i="3"/>
  <c r="G11" i="3"/>
  <c r="H9" i="3"/>
  <c r="H10" i="3" s="1"/>
  <c r="I5" i="3"/>
  <c r="J3" i="3"/>
  <c r="C3" i="3"/>
  <c r="C4" i="3" s="1"/>
  <c r="C6" i="3" s="1"/>
  <c r="C8" i="3" s="1"/>
  <c r="C8" i="1"/>
  <c r="C5" i="1"/>
  <c r="C6" i="1"/>
  <c r="C4" i="1"/>
  <c r="C4" i="2"/>
  <c r="C3" i="1"/>
  <c r="C3" i="2"/>
  <c r="D17" i="2"/>
  <c r="D16" i="2"/>
  <c r="E15" i="2"/>
  <c r="E14" i="2"/>
  <c r="F13" i="2"/>
  <c r="F12" i="2" s="1"/>
  <c r="G12" i="2"/>
  <c r="G11" i="2"/>
  <c r="H9" i="2"/>
  <c r="H10" i="2" s="1"/>
  <c r="C6" i="2"/>
  <c r="C8" i="2" s="1"/>
  <c r="I5" i="2"/>
  <c r="I6" i="2" s="1"/>
  <c r="J3" i="2"/>
  <c r="J4" i="2" s="1"/>
  <c r="D17" i="1"/>
  <c r="D16" i="1"/>
  <c r="E14" i="1"/>
  <c r="E15" i="1"/>
  <c r="F12" i="1"/>
  <c r="F13" i="1"/>
  <c r="G12" i="1"/>
  <c r="G11" i="1"/>
  <c r="H10" i="1"/>
  <c r="H9" i="1"/>
  <c r="I6" i="1"/>
  <c r="I5" i="1"/>
  <c r="J4" i="1"/>
  <c r="J3" i="1"/>
  <c r="C9" i="3" l="1"/>
  <c r="C10" i="3" s="1"/>
  <c r="C9" i="2"/>
  <c r="C10" i="2" s="1"/>
  <c r="C9" i="1"/>
  <c r="C10" i="1" s="1"/>
  <c r="C11" i="1" s="1"/>
  <c r="C11" i="3" l="1"/>
  <c r="C12" i="3" s="1"/>
  <c r="C11" i="2"/>
  <c r="C12" i="2" s="1"/>
  <c r="C13" i="2" s="1"/>
  <c r="C12" i="1"/>
  <c r="C13" i="1" s="1"/>
  <c r="C14" i="2" l="1"/>
  <c r="C14" i="1"/>
  <c r="C15" i="1" s="1"/>
  <c r="C15" i="2" l="1"/>
  <c r="C16" i="2" s="1"/>
  <c r="C16" i="1"/>
  <c r="C17" i="1" s="1"/>
  <c r="C18" i="1" s="1"/>
  <c r="C17" i="2" l="1"/>
  <c r="C18" i="2" s="1"/>
</calcChain>
</file>

<file path=xl/sharedStrings.xml><?xml version="1.0" encoding="utf-8"?>
<sst xmlns="http://schemas.openxmlformats.org/spreadsheetml/2006/main" count="60" uniqueCount="21">
  <si>
    <t>Basis: Vorwärtskalkulation</t>
  </si>
  <si>
    <t>%</t>
  </si>
  <si>
    <t>€</t>
  </si>
  <si>
    <t>Listeneinkaufspreis</t>
  </si>
  <si>
    <t>Lieferantenrabat</t>
  </si>
  <si>
    <t>Zieleinkaufspreis</t>
  </si>
  <si>
    <t>Lieferantenskonto</t>
  </si>
  <si>
    <t>Bareinkaufspreis</t>
  </si>
  <si>
    <t>Bezugskosten</t>
  </si>
  <si>
    <t>Bezugspreis</t>
  </si>
  <si>
    <t>Handlungskosten</t>
  </si>
  <si>
    <t>Selbstkosten</t>
  </si>
  <si>
    <t>Gewinn</t>
  </si>
  <si>
    <t>Barverkaufspreis</t>
  </si>
  <si>
    <t>Kundenskonto</t>
  </si>
  <si>
    <t>Zielverkaufspreis</t>
  </si>
  <si>
    <t>Kundenrabatt</t>
  </si>
  <si>
    <t>Listenverkaufspreis</t>
  </si>
  <si>
    <t>Umsatzsteuer</t>
  </si>
  <si>
    <t>Bruttoverkaufspreis</t>
  </si>
  <si>
    <t>Lieferantenrabatt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</si>
</sst>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0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sz val="14"/>
      <name val="Arial"/>
      <family val="2"/>
    </font>
    <font>
      <sz val="12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1" xfId="0" applyFont="1" applyBorder="1"/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2" fontId="4" fillId="2" borderId="1" xfId="0" applyNumberFormat="1" applyFont="1" applyFill="1" applyBorder="1" applyProtection="1">
      <protection locked="0"/>
    </xf>
    <xf numFmtId="2" fontId="4" fillId="0" borderId="1" xfId="0" applyNumberFormat="1" applyFont="1" applyBorder="1"/>
    <xf numFmtId="0" fontId="4" fillId="2" borderId="1" xfId="0" applyFont="1" applyFill="1" applyBorder="1" applyAlignment="1" applyProtection="1">
      <alignment horizontal="center"/>
      <protection locked="0"/>
    </xf>
    <xf numFmtId="2" fontId="4" fillId="2" borderId="1" xfId="0" applyNumberFormat="1" applyFont="1" applyFill="1" applyBorder="1"/>
    <xf numFmtId="0" fontId="4" fillId="2" borderId="1" xfId="0" applyFont="1" applyFill="1" applyBorder="1" applyAlignment="1">
      <alignment horizontal="center"/>
    </xf>
    <xf numFmtId="2" fontId="4" fillId="3" borderId="1" xfId="0" applyNumberFormat="1" applyFont="1" applyFill="1" applyBorder="1"/>
    <xf numFmtId="0" fontId="4" fillId="0" borderId="2" xfId="0" applyFont="1" applyBorder="1"/>
    <xf numFmtId="2" fontId="4" fillId="0" borderId="2" xfId="0" applyNumberFormat="1" applyFont="1" applyBorder="1"/>
    <xf numFmtId="0" fontId="0" fillId="4" borderId="0" xfId="0" applyFill="1"/>
    <xf numFmtId="0" fontId="5" fillId="0" borderId="0" xfId="0" applyFont="1"/>
    <xf numFmtId="0" fontId="0" fillId="5" borderId="0" xfId="0" applyFill="1"/>
    <xf numFmtId="0" fontId="0" fillId="6" borderId="0" xfId="0" applyFill="1"/>
    <xf numFmtId="2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037D4F-79DC-4067-8A0D-42C7F0133202}">
  <dimension ref="A1:J18"/>
  <sheetViews>
    <sheetView workbookViewId="0">
      <selection activeCell="I14" sqref="I14"/>
    </sheetView>
  </sheetViews>
  <sheetFormatPr baseColWidth="10" defaultRowHeight="14.4" x14ac:dyDescent="0.55000000000000004"/>
  <cols>
    <col min="1" max="1" width="22.7890625" bestFit="1" customWidth="1"/>
    <col min="2" max="2" width="17.15625" customWidth="1"/>
    <col min="3" max="3" width="18" customWidth="1"/>
  </cols>
  <sheetData>
    <row r="1" spans="1:10" ht="15.3" x14ac:dyDescent="0.55000000000000004">
      <c r="A1" s="1" t="s">
        <v>0</v>
      </c>
      <c r="B1" s="2" t="s">
        <v>1</v>
      </c>
      <c r="C1" s="3" t="s">
        <v>2</v>
      </c>
    </row>
    <row r="2" spans="1:10" ht="17.399999999999999" x14ac:dyDescent="0.55000000000000004">
      <c r="A2" s="4" t="s">
        <v>3</v>
      </c>
      <c r="B2" s="5"/>
      <c r="C2" s="6">
        <v>40</v>
      </c>
      <c r="J2" s="14">
        <v>100</v>
      </c>
    </row>
    <row r="3" spans="1:10" ht="17.399999999999999" x14ac:dyDescent="0.55000000000000004">
      <c r="A3" s="4" t="s">
        <v>4</v>
      </c>
      <c r="B3" s="8">
        <v>5</v>
      </c>
      <c r="C3" s="7">
        <f>C2*B3/100</f>
        <v>2</v>
      </c>
      <c r="J3" s="14">
        <f>B3</f>
        <v>5</v>
      </c>
    </row>
    <row r="4" spans="1:10" ht="17.399999999999999" x14ac:dyDescent="0.55000000000000004">
      <c r="A4" s="4" t="s">
        <v>5</v>
      </c>
      <c r="B4" s="5"/>
      <c r="C4" s="7">
        <f>C2-C3</f>
        <v>38</v>
      </c>
      <c r="I4" s="14">
        <v>100</v>
      </c>
      <c r="J4" s="14">
        <f>J2+J3</f>
        <v>105</v>
      </c>
    </row>
    <row r="5" spans="1:10" ht="17.399999999999999" x14ac:dyDescent="0.55000000000000004">
      <c r="A5" s="4" t="s">
        <v>6</v>
      </c>
      <c r="B5" s="8">
        <v>3</v>
      </c>
      <c r="C5" s="7">
        <f>C4*B5/100</f>
        <v>1.1399999999999999</v>
      </c>
      <c r="E5" s="15"/>
      <c r="I5" s="14">
        <f>B5</f>
        <v>3</v>
      </c>
    </row>
    <row r="6" spans="1:10" ht="17.399999999999999" x14ac:dyDescent="0.55000000000000004">
      <c r="A6" s="4" t="s">
        <v>7</v>
      </c>
      <c r="B6" s="5"/>
      <c r="C6" s="7">
        <f>C4-C5</f>
        <v>36.86</v>
      </c>
      <c r="E6" s="15"/>
      <c r="I6" s="14">
        <f>I4+I5</f>
        <v>103</v>
      </c>
    </row>
    <row r="7" spans="1:10" ht="17.399999999999999" x14ac:dyDescent="0.55000000000000004">
      <c r="A7" s="4" t="s">
        <v>8</v>
      </c>
      <c r="B7" s="5"/>
      <c r="C7" s="9">
        <v>0</v>
      </c>
      <c r="E7" s="15"/>
    </row>
    <row r="8" spans="1:10" ht="17.399999999999999" x14ac:dyDescent="0.55000000000000004">
      <c r="A8" s="4" t="s">
        <v>9</v>
      </c>
      <c r="B8" s="5"/>
      <c r="C8" s="7">
        <f>C6-C7</f>
        <v>36.86</v>
      </c>
      <c r="E8" s="15"/>
      <c r="H8" s="16">
        <v>100</v>
      </c>
    </row>
    <row r="9" spans="1:10" ht="17.399999999999999" x14ac:dyDescent="0.55000000000000004">
      <c r="A9" s="4" t="s">
        <v>10</v>
      </c>
      <c r="B9" s="10">
        <v>25</v>
      </c>
      <c r="C9" s="7">
        <f>C8*B9/100</f>
        <v>9.2149999999999999</v>
      </c>
      <c r="H9" s="16">
        <f>B9</f>
        <v>25</v>
      </c>
    </row>
    <row r="10" spans="1:10" ht="17.399999999999999" x14ac:dyDescent="0.55000000000000004">
      <c r="A10" s="4" t="s">
        <v>11</v>
      </c>
      <c r="B10" s="5"/>
      <c r="C10" s="7">
        <f>C8+C9</f>
        <v>46.075000000000003</v>
      </c>
      <c r="G10" s="16">
        <v>100</v>
      </c>
      <c r="H10" s="16">
        <f>H8+H9</f>
        <v>125</v>
      </c>
    </row>
    <row r="11" spans="1:10" ht="17.399999999999999" x14ac:dyDescent="0.55000000000000004">
      <c r="A11" s="4" t="s">
        <v>12</v>
      </c>
      <c r="B11" s="10">
        <v>15</v>
      </c>
      <c r="C11" s="7">
        <f>C10*B11/100</f>
        <v>6.9112499999999999</v>
      </c>
      <c r="G11" s="16">
        <f>B11</f>
        <v>15</v>
      </c>
    </row>
    <row r="12" spans="1:10" ht="17.399999999999999" x14ac:dyDescent="0.55000000000000004">
      <c r="A12" s="4" t="s">
        <v>13</v>
      </c>
      <c r="B12" s="5"/>
      <c r="C12" s="7">
        <f>C10+C11</f>
        <v>52.986250000000005</v>
      </c>
      <c r="F12" s="17">
        <f>F14-F13</f>
        <v>97</v>
      </c>
      <c r="G12" s="16">
        <f>G10+G11</f>
        <v>115</v>
      </c>
    </row>
    <row r="13" spans="1:10" ht="17.399999999999999" x14ac:dyDescent="0.55000000000000004">
      <c r="A13" s="4" t="s">
        <v>14</v>
      </c>
      <c r="B13" s="10">
        <v>3</v>
      </c>
      <c r="C13" s="7">
        <f>C12/F12*B13</f>
        <v>1.6387499999999999</v>
      </c>
      <c r="F13" s="17">
        <f>B13</f>
        <v>3</v>
      </c>
    </row>
    <row r="14" spans="1:10" ht="17.399999999999999" x14ac:dyDescent="0.55000000000000004">
      <c r="A14" s="4" t="s">
        <v>15</v>
      </c>
      <c r="B14" s="5"/>
      <c r="C14" s="7">
        <f>C12+C13</f>
        <v>54.625000000000007</v>
      </c>
      <c r="E14" s="17">
        <f>E16-E15</f>
        <v>90</v>
      </c>
      <c r="F14" s="17">
        <v>100</v>
      </c>
    </row>
    <row r="15" spans="1:10" ht="17.399999999999999" x14ac:dyDescent="0.55000000000000004">
      <c r="A15" s="4" t="s">
        <v>16</v>
      </c>
      <c r="B15" s="10">
        <v>10</v>
      </c>
      <c r="C15" s="7">
        <f>C14/E14*B15</f>
        <v>6.0694444444444446</v>
      </c>
      <c r="E15" s="17">
        <f>B15</f>
        <v>10</v>
      </c>
    </row>
    <row r="16" spans="1:10" ht="17.399999999999999" x14ac:dyDescent="0.55000000000000004">
      <c r="A16" s="4" t="s">
        <v>17</v>
      </c>
      <c r="B16" s="5"/>
      <c r="C16" s="11">
        <f>C14+C15</f>
        <v>60.69444444444445</v>
      </c>
      <c r="D16" s="17">
        <f>D18-D17</f>
        <v>81</v>
      </c>
      <c r="E16" s="17">
        <v>100</v>
      </c>
    </row>
    <row r="17" spans="1:4" ht="17.399999999999999" x14ac:dyDescent="0.55000000000000004">
      <c r="A17" s="12" t="s">
        <v>18</v>
      </c>
      <c r="B17" s="10">
        <v>19</v>
      </c>
      <c r="C17" s="13">
        <f>C16/D16*B17</f>
        <v>14.236968449931414</v>
      </c>
      <c r="D17" s="17">
        <f>B17</f>
        <v>19</v>
      </c>
    </row>
    <row r="18" spans="1:4" ht="17.399999999999999" x14ac:dyDescent="0.55000000000000004">
      <c r="A18" s="12" t="s">
        <v>19</v>
      </c>
      <c r="C18" s="13">
        <f>C16+C17</f>
        <v>74.931412894375867</v>
      </c>
      <c r="D18" s="17">
        <v>100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7B2BCA-5205-499E-86D4-A918FEE76502}">
  <dimension ref="A1:J18"/>
  <sheetViews>
    <sheetView workbookViewId="0">
      <selection activeCell="C6" sqref="C6"/>
    </sheetView>
  </sheetViews>
  <sheetFormatPr baseColWidth="10" defaultRowHeight="14.4" x14ac:dyDescent="0.55000000000000004"/>
  <cols>
    <col min="1" max="1" width="23.89453125" bestFit="1" customWidth="1"/>
    <col min="2" max="2" width="18.89453125" customWidth="1"/>
    <col min="3" max="3" width="19.7890625" customWidth="1"/>
  </cols>
  <sheetData>
    <row r="1" spans="1:10" ht="15.3" x14ac:dyDescent="0.55000000000000004">
      <c r="A1" s="1" t="s">
        <v>0</v>
      </c>
      <c r="B1" s="2" t="s">
        <v>1</v>
      </c>
      <c r="C1" s="3" t="s">
        <v>2</v>
      </c>
    </row>
    <row r="2" spans="1:10" ht="17.399999999999999" x14ac:dyDescent="0.55000000000000004">
      <c r="A2" s="4" t="s">
        <v>3</v>
      </c>
      <c r="B2" s="5"/>
      <c r="C2" s="6">
        <v>90</v>
      </c>
      <c r="J2" s="14">
        <v>100</v>
      </c>
    </row>
    <row r="3" spans="1:10" ht="17.399999999999999" x14ac:dyDescent="0.55000000000000004">
      <c r="A3" s="4" t="s">
        <v>4</v>
      </c>
      <c r="B3" s="8">
        <v>5</v>
      </c>
      <c r="C3" s="7">
        <f>C2*B3/100</f>
        <v>4.5</v>
      </c>
      <c r="J3" s="14">
        <f>B3</f>
        <v>5</v>
      </c>
    </row>
    <row r="4" spans="1:10" ht="17.399999999999999" x14ac:dyDescent="0.55000000000000004">
      <c r="A4" s="4" t="s">
        <v>5</v>
      </c>
      <c r="B4" s="5"/>
      <c r="C4" s="7">
        <f>C2-C3</f>
        <v>85.5</v>
      </c>
      <c r="I4" s="14">
        <v>100</v>
      </c>
      <c r="J4" s="14">
        <f>J2+J3</f>
        <v>105</v>
      </c>
    </row>
    <row r="5" spans="1:10" ht="17.399999999999999" x14ac:dyDescent="0.55000000000000004">
      <c r="A5" s="4" t="s">
        <v>6</v>
      </c>
      <c r="B5" s="8">
        <v>3</v>
      </c>
      <c r="C5" s="7">
        <f>C4*B5/100</f>
        <v>2.5649999999999999</v>
      </c>
      <c r="E5" s="15"/>
      <c r="I5" s="14">
        <f>B5</f>
        <v>3</v>
      </c>
    </row>
    <row r="6" spans="1:10" ht="17.399999999999999" x14ac:dyDescent="0.55000000000000004">
      <c r="A6" s="4" t="s">
        <v>7</v>
      </c>
      <c r="B6" s="5"/>
      <c r="C6" s="7">
        <f>C4-C5</f>
        <v>82.935000000000002</v>
      </c>
      <c r="E6" s="15"/>
      <c r="I6" s="14">
        <f>I4+I5</f>
        <v>103</v>
      </c>
    </row>
    <row r="7" spans="1:10" ht="17.399999999999999" x14ac:dyDescent="0.55000000000000004">
      <c r="A7" s="4" t="s">
        <v>8</v>
      </c>
      <c r="B7" s="5"/>
      <c r="C7" s="9">
        <v>0</v>
      </c>
      <c r="E7" s="15"/>
    </row>
    <row r="8" spans="1:10" ht="17.399999999999999" x14ac:dyDescent="0.55000000000000004">
      <c r="A8" s="4" t="s">
        <v>9</v>
      </c>
      <c r="B8" s="5"/>
      <c r="C8" s="7">
        <f>C6-C7</f>
        <v>82.935000000000002</v>
      </c>
      <c r="E8" s="15"/>
      <c r="H8" s="16">
        <v>100</v>
      </c>
    </row>
    <row r="9" spans="1:10" ht="17.399999999999999" x14ac:dyDescent="0.55000000000000004">
      <c r="A9" s="4" t="s">
        <v>10</v>
      </c>
      <c r="B9" s="10">
        <v>25</v>
      </c>
      <c r="C9" s="7">
        <f>C8*B9/100</f>
        <v>20.733750000000001</v>
      </c>
      <c r="H9" s="16">
        <f>B9</f>
        <v>25</v>
      </c>
    </row>
    <row r="10" spans="1:10" ht="17.399999999999999" x14ac:dyDescent="0.55000000000000004">
      <c r="A10" s="4" t="s">
        <v>11</v>
      </c>
      <c r="B10" s="5"/>
      <c r="C10" s="7">
        <f>C8+C9</f>
        <v>103.66875</v>
      </c>
      <c r="G10" s="16">
        <v>100</v>
      </c>
      <c r="H10" s="16">
        <f>H8+H9</f>
        <v>125</v>
      </c>
    </row>
    <row r="11" spans="1:10" ht="17.399999999999999" x14ac:dyDescent="0.55000000000000004">
      <c r="A11" s="4" t="s">
        <v>12</v>
      </c>
      <c r="B11" s="10">
        <v>15</v>
      </c>
      <c r="C11" s="7">
        <f>C10*B11/100</f>
        <v>15.5503125</v>
      </c>
      <c r="G11" s="16">
        <f>B11</f>
        <v>15</v>
      </c>
    </row>
    <row r="12" spans="1:10" ht="17.399999999999999" x14ac:dyDescent="0.55000000000000004">
      <c r="A12" s="4" t="s">
        <v>13</v>
      </c>
      <c r="B12" s="5"/>
      <c r="C12" s="7">
        <f>C10+C11</f>
        <v>119.21906250000001</v>
      </c>
      <c r="F12" s="17">
        <f>F14-F13</f>
        <v>97</v>
      </c>
      <c r="G12" s="16">
        <f>G10+G11</f>
        <v>115</v>
      </c>
    </row>
    <row r="13" spans="1:10" ht="17.399999999999999" x14ac:dyDescent="0.55000000000000004">
      <c r="A13" s="4" t="s">
        <v>14</v>
      </c>
      <c r="B13" s="10">
        <v>3</v>
      </c>
      <c r="C13" s="7">
        <f>C12/F12*B13</f>
        <v>3.6871875000000003</v>
      </c>
      <c r="F13" s="17">
        <f>B13</f>
        <v>3</v>
      </c>
    </row>
    <row r="14" spans="1:10" ht="17.399999999999999" x14ac:dyDescent="0.55000000000000004">
      <c r="A14" s="4" t="s">
        <v>15</v>
      </c>
      <c r="B14" s="5"/>
      <c r="C14" s="7">
        <f>C12+C13</f>
        <v>122.90625</v>
      </c>
      <c r="E14" s="17">
        <f>E16-E15</f>
        <v>90</v>
      </c>
      <c r="F14" s="17">
        <v>100</v>
      </c>
    </row>
    <row r="15" spans="1:10" ht="17.399999999999999" x14ac:dyDescent="0.55000000000000004">
      <c r="A15" s="4" t="s">
        <v>16</v>
      </c>
      <c r="B15" s="10">
        <v>10</v>
      </c>
      <c r="C15" s="7">
        <f>C14/E14*B15</f>
        <v>13.65625</v>
      </c>
      <c r="E15" s="17">
        <f>B15</f>
        <v>10</v>
      </c>
    </row>
    <row r="16" spans="1:10" ht="17.399999999999999" x14ac:dyDescent="0.55000000000000004">
      <c r="A16" s="4" t="s">
        <v>17</v>
      </c>
      <c r="B16" s="5"/>
      <c r="C16" s="11">
        <f>C14+C15</f>
        <v>136.5625</v>
      </c>
      <c r="D16" s="17">
        <f>D18-D17</f>
        <v>81</v>
      </c>
      <c r="E16" s="17">
        <v>100</v>
      </c>
    </row>
    <row r="17" spans="1:4" ht="17.399999999999999" x14ac:dyDescent="0.55000000000000004">
      <c r="A17" s="12" t="s">
        <v>18</v>
      </c>
      <c r="B17" s="10">
        <v>19</v>
      </c>
      <c r="C17" s="13">
        <f>C16/D16*B17</f>
        <v>32.033179012345684</v>
      </c>
      <c r="D17" s="17">
        <f>B17</f>
        <v>19</v>
      </c>
    </row>
    <row r="18" spans="1:4" ht="17.399999999999999" x14ac:dyDescent="0.55000000000000004">
      <c r="A18" s="12" t="s">
        <v>19</v>
      </c>
      <c r="C18" s="13">
        <f>C16+C17</f>
        <v>168.59567901234567</v>
      </c>
      <c r="D18" s="17">
        <v>100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12AA86-6A0A-48CE-B13D-28D19DFC7D89}">
  <dimension ref="A1:J18"/>
  <sheetViews>
    <sheetView tabSelected="1" workbookViewId="0">
      <selection activeCell="D19" sqref="D19"/>
    </sheetView>
  </sheetViews>
  <sheetFormatPr baseColWidth="10" defaultRowHeight="14.4" x14ac:dyDescent="0.55000000000000004"/>
  <cols>
    <col min="1" max="1" width="23.89453125" bestFit="1" customWidth="1"/>
    <col min="2" max="2" width="18.734375" customWidth="1"/>
    <col min="3" max="3" width="17.47265625" customWidth="1"/>
  </cols>
  <sheetData>
    <row r="1" spans="1:10" ht="15.3" x14ac:dyDescent="0.55000000000000004">
      <c r="A1" s="1" t="s">
        <v>0</v>
      </c>
      <c r="B1" s="2" t="s">
        <v>1</v>
      </c>
      <c r="C1" s="3" t="s">
        <v>2</v>
      </c>
    </row>
    <row r="2" spans="1:10" ht="17.399999999999999" x14ac:dyDescent="0.55000000000000004">
      <c r="A2" s="4" t="s">
        <v>3</v>
      </c>
      <c r="B2" s="5"/>
      <c r="C2" s="6">
        <v>110</v>
      </c>
      <c r="J2" s="14">
        <v>100</v>
      </c>
    </row>
    <row r="3" spans="1:10" ht="17.399999999999999" x14ac:dyDescent="0.55000000000000004">
      <c r="A3" s="4" t="s">
        <v>20</v>
      </c>
      <c r="B3" s="8">
        <v>5</v>
      </c>
      <c r="C3" s="7">
        <f>C2*B3/100</f>
        <v>5.5</v>
      </c>
      <c r="J3" s="14">
        <f>B3</f>
        <v>5</v>
      </c>
    </row>
    <row r="4" spans="1:10" ht="17.399999999999999" x14ac:dyDescent="0.55000000000000004">
      <c r="A4" s="4" t="s">
        <v>5</v>
      </c>
      <c r="B4" s="5"/>
      <c r="C4" s="7">
        <f>C2-C3</f>
        <v>104.5</v>
      </c>
      <c r="I4" s="14">
        <v>100</v>
      </c>
      <c r="J4" s="14">
        <f>J2-J3</f>
        <v>95</v>
      </c>
    </row>
    <row r="5" spans="1:10" ht="17.399999999999999" x14ac:dyDescent="0.55000000000000004">
      <c r="A5" s="4" t="s">
        <v>6</v>
      </c>
      <c r="B5" s="8">
        <v>3</v>
      </c>
      <c r="C5" s="7">
        <f>C4*B5/100</f>
        <v>3.1349999999999998</v>
      </c>
      <c r="E5" s="15"/>
      <c r="I5" s="14">
        <f>B5</f>
        <v>3</v>
      </c>
    </row>
    <row r="6" spans="1:10" ht="17.399999999999999" x14ac:dyDescent="0.55000000000000004">
      <c r="A6" s="4" t="s">
        <v>7</v>
      </c>
      <c r="B6" s="5"/>
      <c r="C6" s="7">
        <f>C4-C5</f>
        <v>101.36499999999999</v>
      </c>
      <c r="D6">
        <f>C4*I6/100</f>
        <v>101.36499999999999</v>
      </c>
      <c r="E6" s="15"/>
      <c r="I6" s="14">
        <f>I4-I5</f>
        <v>97</v>
      </c>
    </row>
    <row r="7" spans="1:10" ht="17.399999999999999" x14ac:dyDescent="0.55000000000000004">
      <c r="A7" s="4" t="s">
        <v>8</v>
      </c>
      <c r="B7" s="5"/>
      <c r="C7" s="9">
        <v>0</v>
      </c>
      <c r="E7" s="15"/>
    </row>
    <row r="8" spans="1:10" ht="17.399999999999999" x14ac:dyDescent="0.55000000000000004">
      <c r="A8" s="4" t="s">
        <v>9</v>
      </c>
      <c r="B8" s="5"/>
      <c r="C8" s="7">
        <f>C6-C7</f>
        <v>101.36499999999999</v>
      </c>
      <c r="E8" s="15"/>
      <c r="H8" s="16">
        <v>100</v>
      </c>
    </row>
    <row r="9" spans="1:10" ht="17.399999999999999" x14ac:dyDescent="0.55000000000000004">
      <c r="A9" s="4" t="s">
        <v>10</v>
      </c>
      <c r="B9" s="10">
        <v>25</v>
      </c>
      <c r="C9" s="7">
        <f>C8*B9/100</f>
        <v>25.341249999999999</v>
      </c>
      <c r="H9" s="16">
        <f>B9</f>
        <v>25</v>
      </c>
    </row>
    <row r="10" spans="1:10" ht="17.399999999999999" x14ac:dyDescent="0.55000000000000004">
      <c r="A10" s="4" t="s">
        <v>11</v>
      </c>
      <c r="B10" s="5"/>
      <c r="C10" s="7">
        <f>C8+C9</f>
        <v>126.70625</v>
      </c>
      <c r="G10" s="16">
        <v>100</v>
      </c>
      <c r="H10" s="16">
        <f>H8+H9</f>
        <v>125</v>
      </c>
    </row>
    <row r="11" spans="1:10" ht="17.399999999999999" x14ac:dyDescent="0.55000000000000004">
      <c r="A11" s="4" t="s">
        <v>12</v>
      </c>
      <c r="B11" s="10">
        <v>15</v>
      </c>
      <c r="C11" s="7">
        <f>C10*B11/100</f>
        <v>19.005937500000002</v>
      </c>
      <c r="G11" s="16">
        <f>B11</f>
        <v>15</v>
      </c>
    </row>
    <row r="12" spans="1:10" ht="17.399999999999999" x14ac:dyDescent="0.55000000000000004">
      <c r="A12" s="4" t="s">
        <v>13</v>
      </c>
      <c r="B12" s="5"/>
      <c r="C12" s="7">
        <f>C10+C11</f>
        <v>145.7121875</v>
      </c>
      <c r="F12" s="17">
        <f>F14-F13</f>
        <v>97</v>
      </c>
      <c r="G12" s="16">
        <f>G10+G11</f>
        <v>115</v>
      </c>
      <c r="I12" s="18">
        <v>145.7121875</v>
      </c>
    </row>
    <row r="13" spans="1:10" ht="17.399999999999999" x14ac:dyDescent="0.55000000000000004">
      <c r="A13" s="4" t="s">
        <v>14</v>
      </c>
      <c r="B13" s="10">
        <v>3</v>
      </c>
      <c r="C13" s="7">
        <f>C14*B13/100</f>
        <v>4.5065625000000002</v>
      </c>
      <c r="D13">
        <f>C12/(100-B13)*B13</f>
        <v>4.5065625000000002</v>
      </c>
      <c r="F13" s="17">
        <f>B13</f>
        <v>3</v>
      </c>
      <c r="I13" s="18">
        <v>4.5065625000000002</v>
      </c>
    </row>
    <row r="14" spans="1:10" ht="17.399999999999999" x14ac:dyDescent="0.55000000000000004">
      <c r="A14" s="4" t="s">
        <v>15</v>
      </c>
      <c r="B14" s="5"/>
      <c r="C14" s="7">
        <f>C12/(100-B13)*100</f>
        <v>150.21875</v>
      </c>
      <c r="D14" s="18">
        <f>C12+D13</f>
        <v>150.21875</v>
      </c>
      <c r="E14" s="17">
        <f>E16-E15</f>
        <v>90</v>
      </c>
      <c r="F14" s="17">
        <v>100</v>
      </c>
      <c r="I14" s="18">
        <v>150.21875</v>
      </c>
    </row>
    <row r="15" spans="1:10" ht="17.399999999999999" x14ac:dyDescent="0.55000000000000004">
      <c r="A15" s="4" t="s">
        <v>16</v>
      </c>
      <c r="B15" s="10">
        <v>10</v>
      </c>
      <c r="C15" s="7">
        <f>C14/(100-B15)*B15</f>
        <v>16.690972222222221</v>
      </c>
      <c r="E15" s="17">
        <f>B15</f>
        <v>10</v>
      </c>
      <c r="I15" s="18">
        <v>16.690972222222221</v>
      </c>
    </row>
    <row r="16" spans="1:10" ht="17.399999999999999" x14ac:dyDescent="0.55000000000000004">
      <c r="A16" s="4" t="s">
        <v>17</v>
      </c>
      <c r="B16" s="5"/>
      <c r="C16" s="11">
        <f>C14+C15</f>
        <v>166.90972222222223</v>
      </c>
      <c r="D16" s="17">
        <v>100</v>
      </c>
      <c r="E16" s="17">
        <v>100</v>
      </c>
      <c r="I16" s="18">
        <v>166.90972222222223</v>
      </c>
    </row>
    <row r="17" spans="1:9" ht="17.399999999999999" x14ac:dyDescent="0.55000000000000004">
      <c r="A17" s="12" t="s">
        <v>18</v>
      </c>
      <c r="B17" s="10">
        <v>19</v>
      </c>
      <c r="C17" s="13">
        <f>C16/100*B17</f>
        <v>31.712847222222223</v>
      </c>
      <c r="D17" s="17">
        <f>B17</f>
        <v>19</v>
      </c>
      <c r="I17" s="18">
        <v>39.151663237311389</v>
      </c>
    </row>
    <row r="18" spans="1:9" ht="17.399999999999999" x14ac:dyDescent="0.55000000000000004">
      <c r="A18" s="12" t="s">
        <v>19</v>
      </c>
      <c r="C18" s="13">
        <f>C16+C17</f>
        <v>198.62256944444445</v>
      </c>
      <c r="D18" s="17">
        <v>119</v>
      </c>
      <c r="I18" s="18">
        <v>206.06138545953362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40proStück</vt:lpstr>
      <vt:lpstr>90proStück</vt:lpstr>
      <vt:lpstr>110proStück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Westfal</dc:creator>
  <cp:lastModifiedBy>Joachim Krappel</cp:lastModifiedBy>
  <dcterms:created xsi:type="dcterms:W3CDTF">2025-10-06T08:32:06Z</dcterms:created>
  <dcterms:modified xsi:type="dcterms:W3CDTF">2025-10-10T08:49:22Z</dcterms:modified>
</cp:coreProperties>
</file>