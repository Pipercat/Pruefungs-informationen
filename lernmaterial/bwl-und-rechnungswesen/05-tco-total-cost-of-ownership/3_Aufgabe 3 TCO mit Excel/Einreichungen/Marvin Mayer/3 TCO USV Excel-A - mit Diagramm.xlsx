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bbe9f0c48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stenvergleich" sheetId="4" r:id="R1ade88f086a54eef"/>
  </x:sheets>
</x:workbook>
</file>

<file path=xl/sharedStrings.xml><?xml version="1.0" encoding="utf-8"?>
<x:sst xmlns:x="http://schemas.openxmlformats.org/spreadsheetml/2006/main">
  <x:si>
    <x:t xml:space="preserve">Kostenvergleich USV</x:t>
  </x:si>
  <x:si>
    <x:t xml:space="preserve">Gesamtkosten</x:t>
  </x:si>
  <x:si>
    <x:t xml:space="preserve">Laufzeit in Stunden pro Jahr</x:t>
  </x:si>
  <x:si>
    <x:t xml:space="preserve">Nutzungsdauer in Jahren</x:t>
  </x:si>
  <x:si>
    <x:t xml:space="preserve">Champ 2100</x:t>
  </x:si>
  <x:si>
    <x:t xml:space="preserve">Green 2100</x:t>
  </x:si>
  <x:si>
    <x:t xml:space="preserve">Strompreis je kWh</x:t>
  </x:si>
  <x:si>
    <x:t xml:space="preserve">Anschaffungskosten in €</x:t>
  </x:si>
  <x:si>
    <x:t xml:space="preserve">Energiebedarf in Watt</x:t>
  </x:si>
  <x:si>
    <x:t xml:space="preserve">Energiekosten pro Jahr</x:t>
  </x:si>
  <x:si>
    <x:t xml:space="preserve">Green 2100:</x:t>
  </x:si>
  <x:si>
    <x:t xml:space="preserve">Kritischer Punkt</x:t>
  </x:si>
  <x:si>
    <x:t xml:space="preserve">Jahre</x:t>
  </x:si>
</x:sst>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0"/>
  </x:numFmts>
  <x:fonts count="4">
    <x:font>
      <x:sz val="11"/>
      <x:color theme="1"/>
      <x:name val="Calibri"/>
    </x:font>
    <x:font>
      <x:sz val="11"/>
      <x:color theme="1"/>
      <x:name val="Arial"/>
    </x:font>
    <x:font>
      <x:b/>
      <x:sz val="11"/>
      <x:name val="Arial"/>
    </x:font>
    <x:font>
      <x:b/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Font="1"/>
    <x:xf numFmtId="0" fontId="1" fillId="0" borderId="1" xfId="0" applyFont="1" applyBorder="1"/>
    <x:xf numFmtId="2" fontId="1" fillId="0" borderId="1" xfId="0" applyNumberFormat="1" applyFont="1" applyBorder="1"/>
    <x:xf numFmtId="0" fontId="1" fillId="0" borderId="1" xfId="0" applyFont="1" applyBorder="1" applyAlignment="1">
      <x:alignment horizontal="center"/>
    </x:xf>
    <x:xf numFmtId="0" fontId="3" fillId="0" borderId="0" xfId="0" applyFont="1"/>
    <x:xf numFmtId="0" fontId="1" fillId="0" borderId="1" xfId="0" applyFont="1" applyBorder="1" applyAlignment="1">
      <x:alignment horizontal="center" wrapText="1"/>
    </x:xf>
    <x:xf numFmtId="0" fontId="2" fillId="0" borderId="2" xfId="0" applyFont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1d6923e0b4048" /><Relationship Type="http://schemas.openxmlformats.org/officeDocument/2006/relationships/theme" Target="/xl/theme/theme1.xml" Id="R412d03f8322f4be4" /><Relationship Type="http://schemas.openxmlformats.org/officeDocument/2006/relationships/sharedStrings" Target="/xl/sharedStrings.xml" Id="Rb9e94a431dd148ab" /><Relationship Type="http://schemas.openxmlformats.org/officeDocument/2006/relationships/worksheet" Target="/xl/worksheets/sheet1.xml" Id="R1ade88f086a54e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f11bdc363a48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Gesamtkosten über 5 Jahre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Champ 2100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'Kostenvergleich'!$E$6:$E$10</c:f>
              <c:strCache>
                <c:ptCount val="0"/>
              </c:strCache>
            </c:strRef>
          </c:cat>
          <c:val>
            <c:numRef>
              <c:f>'Kostenvergleich'!$F$6:$F$10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Green 2100</c:v>
          </c:tx>
          <c:spPr>
            <a:ln xmlns:a="http://schemas.openxmlformats.org/drawingml/2006/main" w="19050">
              <a:solidFill>
                <a:srgbClr val="16803D"/>
              </a:solidFill>
              <a:prstDash val="solid"/>
            </a:ln>
          </c:spPr>
          <c:marker>
            <c:symbol val="none"/>
          </c:marker>
          <c:cat>
            <c:strRef>
              <c:f>'Kostenvergleich'!$E$6:$E$10</c:f>
              <c:strCache>
                <c:ptCount val="0"/>
              </c:strCache>
            </c:strRef>
          </c:cat>
          <c:val>
            <c:numRef>
              <c:f>'Kostenvergleich'!$G$6:$G$10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Nutzungsdauer in Jahren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Gesamtkosten in €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f11bdc363a487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62e3f609b140b4" /></Relationships>
</file>

<file path=xl/worksheets/sheet1.xml><?xml version="1.0" encoding="utf-8"?>
<x:worksheet xmlns:x="http://schemas.openxmlformats.org/spreadsheetml/2006/main">
  <x:sheetFormatPr baseColWidth="10" defaultColWidth="11.41796875" defaultRowHeight="13.800000190734863"/>
  <x:cols>
    <x:col min="1" max="1" width="11.41796875" style="1" customWidth="0"/>
    <x:col min="2" max="2" width="28.41796875" style="1" customWidth="1"/>
    <x:col min="3" max="4" width="11.41796875" style="1" customWidth="0"/>
    <x:col min="5" max="5" width="17.41796875" style="1" customWidth="1"/>
    <x:col min="6" max="16384" width="11.41796875" style="1" customWidth="0"/>
  </x:cols>
  <x:sheetData>
    <x:row r="2" ht="14.100000381469727">
      <x:c r="B2" s="8" t="s">
        <x:v>0</x:v>
      </x:c>
      <x:c r="C2" s="8"/>
      <x:c r="D2" s="8"/>
      <x:c r="E2" s="8"/>
      <x:c r="F2" s="8"/>
      <x:c r="G2" s="8"/>
    </x:row>
    <x:row r="4" ht="14.100000381469727">
      <x:c r="E4" s="7" t="s">
        <x:v>1</x:v>
      </x:c>
      <x:c r="F4" s="7"/>
      <x:c r="G4" s="7"/>
    </x:row>
    <x:row r="5" ht="28.5" customHeight="1">
      <x:c r="B5" s="2" t="s">
        <x:v>2</x:v>
      </x:c>
      <x:c r="C5" s="9" t="n">
        <x:f>24*365</x:f>
        <x:v>8760</x:v>
      </x:c>
      <x:c r="E5" s="6" t="s">
        <x:v>3</x:v>
      </x:c>
      <x:c r="F5" s="2" t="s">
        <x:v>4</x:v>
      </x:c>
      <x:c r="G5" s="2" t="s">
        <x:v>5</x:v>
      </x:c>
    </x:row>
    <x:row r="6">
      <x:c r="B6" s="2" t="s">
        <x:v>6</x:v>
      </x:c>
      <x:c r="C6" s="3" t="n">
        <x:v>0.3</x:v>
      </x:c>
      <x:c r="E6" s="4">
        <x:v>1</x:v>
      </x:c>
      <x:c r="F6" s="10" t="n">
        <x:f>$C$9+$C$11*$E6</x:f>
        <x:v>1637.88</x:v>
      </x:c>
      <x:c r="G6" s="10" t="n">
        <x:f>$C$14+$C$16*$E6</x:f>
        <x:v>2361.12</x:v>
      </x:c>
    </x:row>
    <x:row r="7">
      <x:c r="E7" s="4">
        <x:v>2</x:v>
      </x:c>
      <x:c r="F7" s="10" t="n">
        <x:f>$C$9+$C$11*$E7</x:f>
        <x:v>2846.76</x:v>
      </x:c>
      <x:c r="G7" s="10" t="n">
        <x:f>$C$14+$C$16*$E7</x:f>
        <x:v>3123.24</x:v>
      </x:c>
    </x:row>
    <x:row r="8" ht="14.100000381469727">
      <x:c r="B8" s="5" t="s">
        <x:v>4</x:v>
      </x:c>
      <x:c r="E8" s="4">
        <x:v>3</x:v>
      </x:c>
      <x:c r="F8" s="10" t="n">
        <x:f>$C$9+$C$11*$E8</x:f>
        <x:v>4055.6400000000003</x:v>
      </x:c>
      <x:c r="G8" s="10" t="n">
        <x:f>$C$14+$C$16*$E8</x:f>
        <x:v>3885.3599999999997</x:v>
      </x:c>
    </x:row>
    <x:row r="9">
      <x:c r="B9" s="2" t="s">
        <x:v>7</x:v>
      </x:c>
      <x:c r="C9" s="3">
        <x:v>429</x:v>
      </x:c>
      <x:c r="E9" s="4">
        <x:v>4</x:v>
      </x:c>
      <x:c r="F9" s="10" t="n">
        <x:f>$C$9+$C$11*$E9</x:f>
        <x:v>5264.52</x:v>
      </x:c>
      <x:c r="G9" s="10" t="n">
        <x:f>$C$14+$C$16*$E9</x:f>
        <x:v>4647.48</x:v>
      </x:c>
    </x:row>
    <x:row r="10">
      <x:c r="B10" s="2" t="s">
        <x:v>8</x:v>
      </x:c>
      <x:c r="C10" s="2">
        <x:v>460</x:v>
      </x:c>
      <x:c r="E10" s="4">
        <x:v>5</x:v>
      </x:c>
      <x:c r="F10" s="10" t="n">
        <x:f>$C$9+$C$11*$E10</x:f>
        <x:v>6473.400000000001</x:v>
      </x:c>
      <x:c r="G10" s="10" t="n">
        <x:f>$C$14+$C$16*$E10</x:f>
        <x:v>5409.599999999999</x:v>
      </x:c>
    </x:row>
    <x:row r="11">
      <x:c r="B11" s="2" t="s">
        <x:v>9</x:v>
      </x:c>
      <x:c r="C11" s="10" t="n">
        <x:f>C10/1000*$C$5*$C$6</x:f>
        <x:v>1208.88</x:v>
      </x:c>
    </x:row>
    <x:row r="13" ht="14.100000381469727">
      <x:c r="B13" s="5" t="s">
        <x:v>10</x:v>
      </x:c>
      <x:c r="E13" s="5" t="s">
        <x:v>11</x:v>
      </x:c>
      <x:c r="F13" s="11" t="n">
        <x:f>($C$14-$C$9)/($C$11-$C$16)</x:f>
        <x:v>2.618855761482674</x:v>
      </x:c>
      <x:c r="G13" s="1" t="s">
        <x:v>12</x:v>
      </x:c>
    </x:row>
    <x:row r="14">
      <x:c r="B14" s="2" t="s">
        <x:v>7</x:v>
      </x:c>
      <x:c r="C14" s="3">
        <x:v>1599</x:v>
      </x:c>
    </x:row>
    <x:row r="15">
      <x:c r="B15" s="2" t="s">
        <x:v>8</x:v>
      </x:c>
      <x:c r="C15" s="2">
        <x:v>290</x:v>
      </x:c>
    </x:row>
    <x:row r="16">
      <x:c r="B16" s="2" t="s">
        <x:v>9</x:v>
      </x:c>
      <x:c r="C16" s="10" t="n">
        <x:f>C15/1000*$C$5*$C$6</x:f>
        <x:v>762.1199999999999</x:v>
      </x:c>
    </x:row>
  </x:sheetData>
  <x:mergeCells>
    <x:mergeCell ref="E4:G4"/>
    <x:mergeCell ref="B2:G2"/>
  </x:mergeCells>
  <x:pageMargins left="0.7" right="0.7" top="0.75" bottom="0.75" header="0.3" footer="0.3"/>
  <x:drawing xmlns:r="http://schemas.openxmlformats.org/officeDocument/2006/relationships" r:id="Rc962e3f609b140b4"/>
</x:worksheet>
</file>